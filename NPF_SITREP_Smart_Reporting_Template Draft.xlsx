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his PC\Downloads\"/>
    </mc:Choice>
  </mc:AlternateContent>
  <bookViews>
    <workbookView xWindow="0" yWindow="0" windowWidth="19200" windowHeight="6930"/>
  </bookViews>
  <sheets>
    <sheet name="CONFIG" sheetId="1" r:id="rId1"/>
    <sheet name="RAW_DATA" sheetId="2" r:id="rId2"/>
    <sheet name="DAILY_SITREP" sheetId="3" r:id="rId3"/>
    <sheet name="WEEKLY_SITREP" sheetId="4" r:id="rId4"/>
    <sheet name="DAILY_RISK_MATRIX" sheetId="5" r:id="rId5"/>
    <sheet name="WEEKLY_RISK_MATRIX" sheetId="6" r:id="rId6"/>
    <sheet name="ACTION_LIBRARY" sheetId="7" r:id="rId7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5" l="1"/>
  <c r="B6" i="1" l="1"/>
  <c r="B3" i="1"/>
  <c r="B3" i="3" s="1"/>
  <c r="D3" i="4"/>
  <c r="D3" i="3"/>
  <c r="A16" i="3"/>
  <c r="B7" i="1" l="1"/>
  <c r="B3" i="4" s="1"/>
</calcChain>
</file>

<file path=xl/sharedStrings.xml><?xml version="1.0" encoding="utf-8"?>
<sst xmlns="http://schemas.openxmlformats.org/spreadsheetml/2006/main" count="95" uniqueCount="81">
  <si>
    <t>SMART SITREP CONFIGURATION (Excel 365)</t>
  </si>
  <si>
    <t>Daily Report Date</t>
  </si>
  <si>
    <t>Daily Window (days)</t>
  </si>
  <si>
    <t>Week Start Date</t>
  </si>
  <si>
    <t>Week End Date (exclusive)</t>
  </si>
  <si>
    <t>Submission_ID</t>
  </si>
  <si>
    <t>Report_Date</t>
  </si>
  <si>
    <t>State</t>
  </si>
  <si>
    <t>LGA_or_Address</t>
  </si>
  <si>
    <t>Threat_Domain</t>
  </si>
  <si>
    <t>Severity</t>
  </si>
  <si>
    <t>Trend</t>
  </si>
  <si>
    <t>Source_Reliability</t>
  </si>
  <si>
    <t>Source_Credibility</t>
  </si>
  <si>
    <t>Other_Agency</t>
  </si>
  <si>
    <t>Narrative</t>
  </si>
  <si>
    <t>DAILY INTELLIGENCE SITUATION REPORT (AUTO-GENERATED)</t>
  </si>
  <si>
    <t>Reporting Date:</t>
  </si>
  <si>
    <t>Total Submissions (24h):</t>
  </si>
  <si>
    <t>RED Alerts (Threats):</t>
  </si>
  <si>
    <t>Key Intelligence Highlights</t>
  </si>
  <si>
    <t>•</t>
  </si>
  <si>
    <t>Incident Summary</t>
  </si>
  <si>
    <t>Crime Type</t>
  </si>
  <si>
    <t>Count</t>
  </si>
  <si>
    <t>Severity Flag</t>
  </si>
  <si>
    <t>To generate RED/AMBER flags: populate DAILY_RISK_MATRIX Column A (State) and select Threat Domain in Column B.</t>
  </si>
  <si>
    <t>TOP 5 RED ALERTS (Auto-generated)</t>
  </si>
  <si>
    <t>Rank</t>
  </si>
  <si>
    <t>Threat</t>
  </si>
  <si>
    <t>High Severity Count</t>
  </si>
  <si>
    <t>Total Reports</t>
  </si>
  <si>
    <t>Recommended First Action</t>
  </si>
  <si>
    <t>Note: If there are fewer than 5 RED alerts in the daily window, the list will show available items only.</t>
  </si>
  <si>
    <t>WEEKLY INTELLIGENCE ASSESSMENT REPORT</t>
  </si>
  <si>
    <t>Week Covered:</t>
  </si>
  <si>
    <t>Total Reports (week):</t>
  </si>
  <si>
    <t>RED Alerts:</t>
  </si>
  <si>
    <t>Weekly Trend Analysis</t>
  </si>
  <si>
    <t>Week Total</t>
  </si>
  <si>
    <t>Trend Direction</t>
  </si>
  <si>
    <t>State Risk Profiling</t>
  </si>
  <si>
    <t>Dominant Crime</t>
  </si>
  <si>
    <t>Risk Rating</t>
  </si>
  <si>
    <t>DAILY RISK MATRIX (Auto-populated from RAW_DATA)</t>
  </si>
  <si>
    <t>Threat (Crime Type)</t>
  </si>
  <si>
    <t>Risk Flag</t>
  </si>
  <si>
    <t>WEEKLY RISK MATRIX (Auto-populated from RAW_DATA)</t>
  </si>
  <si>
    <t>ACTION LIBRARY (Default first actions by Threat/Crime Type)</t>
  </si>
  <si>
    <t>Default First Action</t>
  </si>
  <si>
    <t>Primary Responsible Unit (Default)</t>
  </si>
  <si>
    <t>Kidnapping</t>
  </si>
  <si>
    <t>Activate anti-kidnapping response; deploy surveillance/patrols; coordinate with DSS/NSCDC where applicable.</t>
  </si>
  <si>
    <t>State CID / Anti-Kidnapping Unit</t>
  </si>
  <si>
    <t>Armed Robbery</t>
  </si>
  <si>
    <t>Increase stop-and-search and targeted patrols on identified routes; review recent modus operandi.</t>
  </si>
  <si>
    <t>Area Command / Tactical Teams</t>
  </si>
  <si>
    <t>Banditry</t>
  </si>
  <si>
    <t>Escalate to joint task coordination; strengthen rural intelligence assets; protect vulnerable routes/settlements.</t>
  </si>
  <si>
    <t>Operations / Joint Task Coordination</t>
  </si>
  <si>
    <t>Terrorism</t>
  </si>
  <si>
    <t>Immediate escalation to CT units; coordinate with NCTC and military; strengthen critical infrastructure security.</t>
  </si>
  <si>
    <t>CT Unit / Intelligence HQ</t>
  </si>
  <si>
    <t>Cultism</t>
  </si>
  <si>
    <t>Hotspot policing; engage community informants; monitor gatherings; rapid arrests of known actors.</t>
  </si>
  <si>
    <t>State Intelligence / Area Command</t>
  </si>
  <si>
    <t>Rape / Sexual Violence</t>
  </si>
  <si>
    <t>Prioritize victim protection and evidence preservation; notify gender desk; ensure survivor-centered referral.</t>
  </si>
  <si>
    <t>Gender Desk / SCID</t>
  </si>
  <si>
    <t>Cybercrime</t>
  </si>
  <si>
    <t>Preserve digital evidence; refer to cyber unit; monitor linked accounts and transactions.</t>
  </si>
  <si>
    <t>Cybercrime Unit</t>
  </si>
  <si>
    <t>Homicide</t>
  </si>
  <si>
    <t>Secure scene; deploy detectives; canvass witnesses; activate incident room.</t>
  </si>
  <si>
    <t>SCID / Homicide Desk</t>
  </si>
  <si>
    <t>Drug trafficking</t>
  </si>
  <si>
    <t>Targeted interdiction; coordinate with NDLEA; monitor supply corridors.</t>
  </si>
  <si>
    <t>NPF Narcotics Unit / NDLEA Liaison</t>
  </si>
  <si>
    <t>Human trafficking</t>
  </si>
  <si>
    <t>Immediate safeguarding; coordinate with NAPTIP; secure transit points.</t>
  </si>
  <si>
    <t>Anti-Trafficking Desk / NAPTIP Liaison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</si>
</sst>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7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i/>
      <sz val="11"/>
      <name val="Calibri"/>
    </font>
    <font>
      <b/>
      <sz val="13"/>
      <name val="Calibri"/>
    </font>
    <font>
      <b/>
      <sz val="12"/>
      <name val="Calibri"/>
    </font>
    <font>
      <i/>
      <sz val="9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164" fontId="1" fillId="0" borderId="0" xfId="0" applyNumberFormat="1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top" wrapText="1"/>
    </xf>
    <xf numFmtId="0" fontId="4" fillId="0" borderId="0" xfId="0" applyFont="1"/>
    <xf numFmtId="0" fontId="0" fillId="0" borderId="0" xfId="0"/>
    <xf numFmtId="0" fontId="5" fillId="0" borderId="0" xfId="0" applyFont="1"/>
    <xf numFmtId="0" fontId="6" fillId="0" borderId="0" xfId="0" applyFont="1"/>
    <xf numFmtId="0" fontId="3" fillId="0" borderId="0" xfId="0" applyFont="1"/>
    <xf numFmtId="0" fontId="2" fillId="0" borderId="0" xfId="0" applyFont="1"/>
    <xf numFmtId="167" fontId="0" fillId="0" borderId="0" xfId="0" applyNumberFormat="1" applyAlignment="1">
      <alignment horizontal="left"/>
    </xf>
  </cellXfs>
  <cellStyles count="1">
    <cellStyle name="Normal" xfId="0" builtinId="0"/>
  </cellStyles>
  <dxfs count="7">
    <dxf>
      <numFmt numFmtId="0" formatCode="General"/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lRaw" displayName="tblRaw" ref="A1:K2000">
  <autoFilter ref="A1:K2000"/>
  <tableColumns count="11">
    <tableColumn id="1" name="Submission_ID"/>
    <tableColumn id="2" name="Report_Date"/>
    <tableColumn id="3" name="State"/>
    <tableColumn id="4" name="LGA_or_Address"/>
    <tableColumn id="5" name="Threat_Domain"/>
    <tableColumn id="6" name="Severity" dataDxfId="0"/>
    <tableColumn id="7" name="Trend"/>
    <tableColumn id="8" name="Source_Reliability"/>
    <tableColumn id="9" name="Source_Credibility"/>
    <tableColumn id="10" name="Other_Agency"/>
    <tableColumn id="11" name="Narrativ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H8" sqref="H8"/>
    </sheetView>
  </sheetViews>
  <sheetFormatPr defaultRowHeight="14.5" x14ac:dyDescent="0.35"/>
  <cols>
    <col min="1" max="1" width="28" customWidth="1"/>
    <col min="2" max="2" width="23.1796875" bestFit="1" customWidth="1"/>
    <col min="3" max="4" width="14" customWidth="1"/>
  </cols>
  <sheetData>
    <row r="1" spans="1:4" ht="17" x14ac:dyDescent="0.4">
      <c r="A1" s="9" t="s">
        <v>0</v>
      </c>
      <c r="B1" s="10"/>
      <c r="C1" s="10"/>
      <c r="D1" s="10"/>
    </row>
    <row r="3" spans="1:4" x14ac:dyDescent="0.35">
      <c r="A3" s="6" t="s">
        <v>1</v>
      </c>
      <c r="B3" s="15">
        <f ca="1">TODAY()</f>
        <v>46033</v>
      </c>
    </row>
    <row r="4" spans="1:4" x14ac:dyDescent="0.35">
      <c r="A4" s="6" t="s">
        <v>2</v>
      </c>
      <c r="B4" s="7">
        <v>1</v>
      </c>
    </row>
    <row r="5" spans="1:4" x14ac:dyDescent="0.35">
      <c r="A5" s="6"/>
      <c r="B5" s="7"/>
    </row>
    <row r="6" spans="1:4" x14ac:dyDescent="0.35">
      <c r="A6" s="6" t="s">
        <v>3</v>
      </c>
      <c r="B6" s="15">
        <f ca="1">TODAY()-WEEKDAY(TODAY(),2)+1</f>
        <v>46027</v>
      </c>
    </row>
    <row r="7" spans="1:4" x14ac:dyDescent="0.35">
      <c r="A7" s="6" t="s">
        <v>4</v>
      </c>
      <c r="B7" s="15">
        <f ca="1">B6+7</f>
        <v>46034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opLeftCell="C1" workbookViewId="0">
      <pane ySplit="1" topLeftCell="A2" activePane="bottomLeft" state="frozen"/>
      <selection pane="bottomLeft" activeCell="C3" sqref="C3"/>
    </sheetView>
  </sheetViews>
  <sheetFormatPr defaultRowHeight="14.5" x14ac:dyDescent="0.35"/>
  <cols>
    <col min="1" max="1" width="18.6328125" customWidth="1"/>
    <col min="2" max="2" width="15.7265625" customWidth="1"/>
    <col min="3" max="3" width="14" customWidth="1"/>
    <col min="4" max="4" width="22" customWidth="1"/>
    <col min="5" max="5" width="18" customWidth="1"/>
    <col min="6" max="6" width="12.08984375" customWidth="1"/>
    <col min="7" max="7" width="14" customWidth="1"/>
    <col min="8" max="9" width="20" customWidth="1"/>
    <col min="10" max="10" width="16" customWidth="1"/>
    <col min="11" max="11" width="40" customWidth="1"/>
    <col min="12" max="12" width="6" customWidth="1"/>
  </cols>
  <sheetData>
    <row r="1" spans="1:11" x14ac:dyDescent="0.35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</row>
  </sheetData>
  <phoneticPr fontId="7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3" topLeftCell="A10" activePane="bottomLeft" state="frozen"/>
      <selection pane="bottomLeft" activeCell="B27" sqref="B27"/>
    </sheetView>
  </sheetViews>
  <sheetFormatPr defaultRowHeight="14.5" x14ac:dyDescent="0.35"/>
  <cols>
    <col min="1" max="1" width="24.6328125" customWidth="1"/>
    <col min="2" max="2" width="16" customWidth="1"/>
    <col min="3" max="3" width="24" customWidth="1"/>
    <col min="4" max="4" width="18" customWidth="1"/>
    <col min="5" max="5" width="18.36328125" bestFit="1" customWidth="1"/>
    <col min="6" max="6" width="60" customWidth="1"/>
  </cols>
  <sheetData>
    <row r="1" spans="1:6" ht="18.5" x14ac:dyDescent="0.45">
      <c r="A1" s="2" t="s">
        <v>16</v>
      </c>
    </row>
    <row r="3" spans="1:6" x14ac:dyDescent="0.35">
      <c r="A3" s="3" t="s">
        <v>17</v>
      </c>
      <c r="B3" s="5">
        <f ca="1">CONFIG!$B$3</f>
        <v>46033</v>
      </c>
      <c r="C3" s="3" t="s">
        <v>18</v>
      </c>
      <c r="D3" s="3" t="e">
        <f ca="1">LET(rd,CONFIG!$B$3,dw,CONFIG!$B$4,d,RAW_DATA!$B$2:$B$100000,SUMPRODUCT(--(d&gt;=rd),--(d&lt;rd+dw)))</f>
        <v>#NAME?</v>
      </c>
      <c r="E3" s="3" t="s">
        <v>19</v>
      </c>
      <c r="F3" s="3"/>
    </row>
    <row r="5" spans="1:6" x14ac:dyDescent="0.35">
      <c r="A5" t="s">
        <v>20</v>
      </c>
    </row>
    <row r="6" spans="1:6" x14ac:dyDescent="0.35">
      <c r="A6" t="s">
        <v>21</v>
      </c>
    </row>
    <row r="7" spans="1:6" x14ac:dyDescent="0.35">
      <c r="A7" t="s">
        <v>21</v>
      </c>
    </row>
    <row r="8" spans="1:6" x14ac:dyDescent="0.35">
      <c r="A8" t="s">
        <v>21</v>
      </c>
    </row>
    <row r="10" spans="1:6" x14ac:dyDescent="0.35">
      <c r="A10" t="s">
        <v>22</v>
      </c>
    </row>
    <row r="11" spans="1:6" x14ac:dyDescent="0.35">
      <c r="A11" s="1" t="s">
        <v>23</v>
      </c>
      <c r="B11" s="1" t="s">
        <v>24</v>
      </c>
      <c r="C11" s="1" t="s">
        <v>25</v>
      </c>
      <c r="D11" s="1"/>
      <c r="E11" s="1"/>
    </row>
    <row r="12" spans="1:6" x14ac:dyDescent="0.35">
      <c r="A12" s="13" t="s">
        <v>26</v>
      </c>
      <c r="B12" s="10"/>
      <c r="C12" s="10"/>
      <c r="D12" s="10"/>
      <c r="E12" s="10"/>
      <c r="F12" s="10"/>
    </row>
    <row r="14" spans="1:6" ht="15.5" x14ac:dyDescent="0.35">
      <c r="A14" s="11" t="s">
        <v>27</v>
      </c>
      <c r="B14" s="10"/>
      <c r="C14" s="10"/>
      <c r="D14" s="10"/>
      <c r="E14" s="10"/>
      <c r="F14" s="10"/>
    </row>
    <row r="15" spans="1:6" x14ac:dyDescent="0.35">
      <c r="A15" s="4" t="s">
        <v>28</v>
      </c>
      <c r="B15" s="4" t="s">
        <v>7</v>
      </c>
      <c r="C15" s="4" t="s">
        <v>29</v>
      </c>
      <c r="D15" s="4" t="s">
        <v>30</v>
      </c>
      <c r="E15" s="4" t="s">
        <v>31</v>
      </c>
      <c r="F15" s="4" t="s">
        <v>32</v>
      </c>
    </row>
    <row r="16" spans="1:6" x14ac:dyDescent="0.35">
      <c r="A16" t="e">
        <f ca="1">SEQUENCE(5,1,1,1)</f>
        <v>#NAME?</v>
      </c>
      <c r="F16" s="8"/>
    </row>
    <row r="17" spans="1:6" x14ac:dyDescent="0.35">
      <c r="F17" s="8"/>
    </row>
    <row r="18" spans="1:6" x14ac:dyDescent="0.35">
      <c r="F18" s="8"/>
    </row>
    <row r="19" spans="1:6" x14ac:dyDescent="0.35">
      <c r="F19" s="8"/>
    </row>
    <row r="20" spans="1:6" x14ac:dyDescent="0.35">
      <c r="F20" s="8"/>
    </row>
    <row r="21" spans="1:6" x14ac:dyDescent="0.35">
      <c r="F21" s="8"/>
    </row>
    <row r="22" spans="1:6" x14ac:dyDescent="0.35">
      <c r="A22" s="12" t="s">
        <v>33</v>
      </c>
      <c r="B22" s="10"/>
      <c r="C22" s="10"/>
      <c r="D22" s="10"/>
      <c r="E22" s="10"/>
      <c r="F22" s="10"/>
    </row>
  </sheetData>
  <mergeCells count="3">
    <mergeCell ref="A14:F14"/>
    <mergeCell ref="A22:F22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A9" sqref="A9"/>
    </sheetView>
  </sheetViews>
  <sheetFormatPr defaultRowHeight="14.5" x14ac:dyDescent="0.35"/>
  <cols>
    <col min="1" max="1" width="40" customWidth="1"/>
    <col min="2" max="2" width="23.81640625" bestFit="1" customWidth="1"/>
    <col min="3" max="3" width="19" bestFit="1" customWidth="1"/>
    <col min="4" max="4" width="11.453125" customWidth="1"/>
    <col min="5" max="5" width="10.08984375" bestFit="1" customWidth="1"/>
  </cols>
  <sheetData>
    <row r="1" spans="1:6" ht="18.5" x14ac:dyDescent="0.45">
      <c r="A1" s="2" t="s">
        <v>34</v>
      </c>
    </row>
    <row r="3" spans="1:6" x14ac:dyDescent="0.35">
      <c r="A3" s="3" t="s">
        <v>35</v>
      </c>
      <c r="B3" s="3" t="str">
        <f ca="1">TEXT(CONFIG!$B$6,"dd-mmm-yyyy")&amp;" to "&amp;TEXT(CONFIG!$B$7-1,"dd-mmm-yyyy")</f>
        <v>05-Jan-2026 to 11-Jan-2026</v>
      </c>
      <c r="C3" s="3" t="s">
        <v>36</v>
      </c>
      <c r="D3" s="3" t="e">
        <f ca="1">LET(ws,CONFIG!$B$6,we,CONFIG!$B$7,d,RAW_DATA!$B$2:$B$100000,SUMPRODUCT(--(d&gt;=ws),--(d&lt;we)))</f>
        <v>#NAME?</v>
      </c>
      <c r="E3" s="3" t="s">
        <v>37</v>
      </c>
      <c r="F3" s="3"/>
    </row>
    <row r="5" spans="1:6" x14ac:dyDescent="0.35">
      <c r="A5" t="s">
        <v>38</v>
      </c>
    </row>
    <row r="6" spans="1:6" x14ac:dyDescent="0.35">
      <c r="A6" s="1" t="s">
        <v>23</v>
      </c>
      <c r="B6" s="1" t="s">
        <v>39</v>
      </c>
      <c r="C6" s="1" t="s">
        <v>40</v>
      </c>
      <c r="D6" s="1"/>
    </row>
    <row r="8" spans="1:6" x14ac:dyDescent="0.35">
      <c r="A8" t="s">
        <v>41</v>
      </c>
    </row>
    <row r="9" spans="1:6" x14ac:dyDescent="0.35">
      <c r="A9" s="1" t="s">
        <v>7</v>
      </c>
      <c r="B9" s="1" t="s">
        <v>42</v>
      </c>
      <c r="C9" s="1" t="s">
        <v>43</v>
      </c>
      <c r="D9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D5" sqref="D5"/>
    </sheetView>
  </sheetViews>
  <sheetFormatPr defaultRowHeight="14.5" x14ac:dyDescent="0.35"/>
  <cols>
    <col min="1" max="1" width="18" customWidth="1"/>
    <col min="2" max="2" width="28" customWidth="1"/>
    <col min="3" max="3" width="14" customWidth="1"/>
    <col min="4" max="4" width="20" customWidth="1"/>
    <col min="5" max="5" width="12" customWidth="1"/>
    <col min="6" max="6" width="36" customWidth="1"/>
    <col min="7" max="7" width="16" customWidth="1"/>
    <col min="8" max="8" width="24" customWidth="1"/>
    <col min="10" max="10" width="22" customWidth="1"/>
  </cols>
  <sheetData>
    <row r="1" spans="1:8" ht="18.5" x14ac:dyDescent="0.45">
      <c r="A1" s="14" t="s">
        <v>44</v>
      </c>
      <c r="B1" s="10"/>
      <c r="C1" s="10"/>
      <c r="D1" s="10"/>
      <c r="E1" s="10"/>
      <c r="F1" s="10"/>
      <c r="G1" s="10"/>
      <c r="H1" s="10"/>
    </row>
    <row r="3" spans="1:8" x14ac:dyDescent="0.35">
      <c r="A3" s="1" t="s">
        <v>7</v>
      </c>
      <c r="B3" s="1" t="s">
        <v>45</v>
      </c>
      <c r="C3" s="1" t="s">
        <v>31</v>
      </c>
      <c r="D3" s="1" t="s">
        <v>30</v>
      </c>
      <c r="E3" s="1" t="s">
        <v>46</v>
      </c>
    </row>
    <row r="4" spans="1:8" x14ac:dyDescent="0.35">
      <c r="D4">
        <f>RAW_DATA!F3</f>
        <v>0</v>
      </c>
    </row>
  </sheetData>
  <mergeCells count="1">
    <mergeCell ref="A1:H1"/>
  </mergeCells>
  <conditionalFormatting sqref="E5:E204">
    <cfRule type="cellIs" dxfId="6" priority="1" operator="equal">
      <formula>"RED"</formula>
    </cfRule>
    <cfRule type="cellIs" dxfId="5" priority="2" operator="equal">
      <formula>"AMBER"</formula>
    </cfRule>
    <cfRule type="cellIs" dxfId="4" priority="3" operator="equal">
      <formula>"GREEN"</formula>
    </cfRule>
  </conditionalFormatting>
  <dataValidations count="1">
    <dataValidation type="list" allowBlank="1" sqref="B5:B204">
      <formula1>$J$5:$J$14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3" topLeftCell="A4" activePane="bottomLeft" state="frozen"/>
      <selection pane="bottomLeft" sqref="A1:I1"/>
    </sheetView>
  </sheetViews>
  <sheetFormatPr defaultRowHeight="14.5" x14ac:dyDescent="0.35"/>
  <cols>
    <col min="1" max="1" width="18" customWidth="1"/>
    <col min="2" max="2" width="28" customWidth="1"/>
    <col min="3" max="3" width="14" customWidth="1"/>
    <col min="4" max="4" width="20" customWidth="1"/>
    <col min="5" max="5" width="12" customWidth="1"/>
    <col min="6" max="6" width="44" customWidth="1"/>
    <col min="7" max="8" width="18" customWidth="1"/>
    <col min="9" max="9" width="24" customWidth="1"/>
    <col min="11" max="11" width="22" customWidth="1"/>
  </cols>
  <sheetData>
    <row r="1" spans="1:9" ht="18.5" x14ac:dyDescent="0.45">
      <c r="A1" s="14" t="s">
        <v>47</v>
      </c>
      <c r="B1" s="10"/>
      <c r="C1" s="10"/>
      <c r="D1" s="10"/>
      <c r="E1" s="10"/>
      <c r="F1" s="10"/>
      <c r="G1" s="10"/>
      <c r="H1" s="10"/>
      <c r="I1" s="10"/>
    </row>
    <row r="3" spans="1:9" x14ac:dyDescent="0.35">
      <c r="A3" s="1" t="s">
        <v>7</v>
      </c>
      <c r="B3" s="1" t="s">
        <v>45</v>
      </c>
      <c r="C3" s="1" t="s">
        <v>31</v>
      </c>
      <c r="D3" s="1" t="s">
        <v>30</v>
      </c>
      <c r="E3" s="1" t="s">
        <v>46</v>
      </c>
    </row>
  </sheetData>
  <mergeCells count="1">
    <mergeCell ref="A1:I1"/>
  </mergeCells>
  <conditionalFormatting sqref="E5:E204">
    <cfRule type="cellIs" dxfId="3" priority="1" operator="equal">
      <formula>"RED"</formula>
    </cfRule>
    <cfRule type="cellIs" dxfId="2" priority="2" operator="equal">
      <formula>"AMBER"</formula>
    </cfRule>
    <cfRule type="cellIs" dxfId="1" priority="3" operator="equal">
      <formula>"GREEN"</formula>
    </cfRule>
  </conditionalFormatting>
  <dataValidations count="1">
    <dataValidation type="list" allowBlank="1" sqref="B5:B204">
      <formula1>$K$5:$K$14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3" topLeftCell="A4" activePane="bottomLeft" state="frozen"/>
      <selection pane="bottomLeft" sqref="A1:C1"/>
    </sheetView>
  </sheetViews>
  <sheetFormatPr defaultRowHeight="14.5" x14ac:dyDescent="0.35"/>
  <cols>
    <col min="1" max="1" width="26" customWidth="1"/>
    <col min="2" max="2" width="70" customWidth="1"/>
    <col min="3" max="3" width="34" customWidth="1"/>
  </cols>
  <sheetData>
    <row r="1" spans="1:3" ht="17" x14ac:dyDescent="0.4">
      <c r="A1" s="9" t="s">
        <v>48</v>
      </c>
      <c r="B1" s="10"/>
      <c r="C1" s="10"/>
    </row>
    <row r="3" spans="1:3" x14ac:dyDescent="0.35">
      <c r="A3" s="1" t="s">
        <v>45</v>
      </c>
      <c r="B3" s="1" t="s">
        <v>49</v>
      </c>
      <c r="C3" s="1" t="s">
        <v>50</v>
      </c>
    </row>
    <row r="4" spans="1:3" ht="29" x14ac:dyDescent="0.35">
      <c r="A4" t="s">
        <v>51</v>
      </c>
      <c r="B4" s="8" t="s">
        <v>52</v>
      </c>
      <c r="C4" s="8" t="s">
        <v>53</v>
      </c>
    </row>
    <row r="5" spans="1:3" ht="29" x14ac:dyDescent="0.35">
      <c r="A5" t="s">
        <v>54</v>
      </c>
      <c r="B5" s="8" t="s">
        <v>55</v>
      </c>
      <c r="C5" s="8" t="s">
        <v>56</v>
      </c>
    </row>
    <row r="6" spans="1:3" ht="29" x14ac:dyDescent="0.35">
      <c r="A6" t="s">
        <v>57</v>
      </c>
      <c r="B6" s="8" t="s">
        <v>58</v>
      </c>
      <c r="C6" s="8" t="s">
        <v>59</v>
      </c>
    </row>
    <row r="7" spans="1:3" ht="29" x14ac:dyDescent="0.35">
      <c r="A7" t="s">
        <v>60</v>
      </c>
      <c r="B7" s="8" t="s">
        <v>61</v>
      </c>
      <c r="C7" s="8" t="s">
        <v>62</v>
      </c>
    </row>
    <row r="8" spans="1:3" ht="29" x14ac:dyDescent="0.35">
      <c r="A8" t="s">
        <v>63</v>
      </c>
      <c r="B8" s="8" t="s">
        <v>64</v>
      </c>
      <c r="C8" s="8" t="s">
        <v>65</v>
      </c>
    </row>
    <row r="9" spans="1:3" ht="29" x14ac:dyDescent="0.35">
      <c r="A9" t="s">
        <v>66</v>
      </c>
      <c r="B9" s="8" t="s">
        <v>67</v>
      </c>
      <c r="C9" s="8" t="s">
        <v>68</v>
      </c>
    </row>
    <row r="10" spans="1:3" ht="29" x14ac:dyDescent="0.35">
      <c r="A10" t="s">
        <v>69</v>
      </c>
      <c r="B10" s="8" t="s">
        <v>70</v>
      </c>
      <c r="C10" s="8" t="s">
        <v>71</v>
      </c>
    </row>
    <row r="11" spans="1:3" x14ac:dyDescent="0.35">
      <c r="A11" t="s">
        <v>72</v>
      </c>
      <c r="B11" s="8" t="s">
        <v>73</v>
      </c>
      <c r="C11" s="8" t="s">
        <v>74</v>
      </c>
    </row>
    <row r="12" spans="1:3" x14ac:dyDescent="0.35">
      <c r="A12" t="s">
        <v>75</v>
      </c>
      <c r="B12" s="8" t="s">
        <v>76</v>
      </c>
      <c r="C12" s="8" t="s">
        <v>77</v>
      </c>
    </row>
    <row r="13" spans="1:3" x14ac:dyDescent="0.35">
      <c r="A13" t="s">
        <v>78</v>
      </c>
      <c r="B13" s="8" t="s">
        <v>79</v>
      </c>
      <c r="C13" s="8" t="s">
        <v>80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CONFIG</vt:lpstr>
      <vt:lpstr>RAW_DATA</vt:lpstr>
      <vt:lpstr>DAILY_SITREP</vt:lpstr>
      <vt:lpstr>WEEKLY_SITREP</vt:lpstr>
      <vt:lpstr>DAILY_RISK_MATRIX</vt:lpstr>
      <vt:lpstr>WEEKLY_RISK_MATRIX</vt:lpstr>
      <vt:lpstr>ACTION_LIBRARY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This PC</cp:lastModifiedBy>
  <dcterms:created xsi:type="dcterms:W3CDTF">2026-01-10T13:07:18Z</dcterms:created>
  <dcterms:modified xsi:type="dcterms:W3CDTF">2026-01-13T06:57:41Z</dcterms:modified>
</cp:coreProperties>
</file>